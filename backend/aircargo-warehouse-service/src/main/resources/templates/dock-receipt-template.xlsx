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BP4WCT\Documents\RECIBOS DE ALAMACEN\"/>
    </mc:Choice>
  </mc:AlternateContent>
  <xr:revisionPtr revIDLastSave="0" documentId="8_{4D845265-B9B2-4DD5-85A8-0AD44CD5CCDD}" xr6:coauthVersionLast="47" xr6:coauthVersionMax="47" xr10:uidLastSave="{00000000-0000-0000-0000-000000000000}"/>
  <bookViews>
    <workbookView xWindow="-120" yWindow="-120" windowWidth="24240" windowHeight="13020" tabRatio="601" xr2:uid="{00000000-000D-0000-FFFF-FFFF00000000}"/>
  </bookViews>
  <sheets>
    <sheet name="DockReceipt" sheetId="1" r:id="rId1"/>
  </sheets>
  <definedNames>
    <definedName name="_xlnm.Print_Area" localSheetId="0">DockReceipt!$A$1:$I$59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2" i="1" l="1"/>
  <c r="I22" i="1" s="1"/>
  <c r="J31" i="1"/>
  <c r="H32" i="1"/>
  <c r="J33" i="1"/>
  <c r="B47" i="1"/>
  <c r="D15" i="1" s="1"/>
  <c r="J22" i="1"/>
  <c r="J23" i="1"/>
  <c r="J24" i="1"/>
  <c r="J25" i="1"/>
  <c r="J27" i="1"/>
  <c r="J28" i="1"/>
  <c r="J29" i="1"/>
  <c r="J30" i="1"/>
  <c r="J26" i="1"/>
  <c r="J38" i="1"/>
  <c r="J39" i="1"/>
  <c r="J40" i="1"/>
  <c r="J34" i="1"/>
  <c r="J35" i="1"/>
  <c r="J36" i="1"/>
  <c r="J37" i="1"/>
  <c r="J41" i="1"/>
  <c r="J42" i="1"/>
  <c r="J43" i="1"/>
  <c r="I46" i="1"/>
  <c r="I23" i="1"/>
  <c r="I24" i="1"/>
  <c r="I25" i="1"/>
  <c r="I26" i="1"/>
  <c r="I27" i="1"/>
  <c r="I28" i="1"/>
  <c r="I29" i="1"/>
  <c r="I30" i="1"/>
  <c r="I31" i="1"/>
  <c r="I45" i="1"/>
  <c r="I32" i="1"/>
  <c r="I33" i="1"/>
  <c r="I34" i="1"/>
  <c r="I35" i="1"/>
  <c r="I36" i="1"/>
  <c r="I37" i="1"/>
  <c r="I38" i="1"/>
  <c r="I39" i="1"/>
  <c r="I40" i="1"/>
  <c r="I41" i="1"/>
  <c r="I42" i="1"/>
  <c r="H22" i="1"/>
  <c r="H23" i="1"/>
  <c r="H24" i="1"/>
  <c r="H27" i="1"/>
  <c r="H28" i="1"/>
  <c r="H29" i="1"/>
  <c r="H30" i="1"/>
  <c r="H26" i="1"/>
  <c r="H38" i="1"/>
  <c r="H25" i="1"/>
  <c r="H39" i="1"/>
  <c r="H40" i="1"/>
  <c r="H34" i="1"/>
  <c r="H35" i="1"/>
  <c r="H36" i="1"/>
  <c r="H37" i="1"/>
  <c r="H41" i="1"/>
  <c r="H42" i="1"/>
  <c r="H43" i="1"/>
  <c r="A17" i="1"/>
  <c r="H44" i="1"/>
  <c r="H45" i="1"/>
  <c r="H46" i="1"/>
  <c r="I43" i="1"/>
  <c r="I44" i="1"/>
  <c r="J44" i="1"/>
  <c r="J45" i="1"/>
  <c r="J46" i="1"/>
  <c r="H31" i="1" l="1"/>
  <c r="J32" i="1"/>
  <c r="H33" i="1"/>
  <c r="F22" i="1"/>
  <c r="G47" i="1"/>
  <c r="H49" i="1" s="1"/>
  <c r="F49" i="1" s="1"/>
  <c r="E49" i="1" s="1"/>
  <c r="I47" i="1"/>
  <c r="F30" i="1"/>
  <c r="F46" i="1"/>
  <c r="F38" i="1"/>
  <c r="F39" i="1"/>
  <c r="F26" i="1"/>
  <c r="F34" i="1"/>
  <c r="F42" i="1"/>
  <c r="F43" i="1"/>
  <c r="F35" i="1"/>
  <c r="F31" i="1"/>
  <c r="F27" i="1"/>
  <c r="F23" i="1"/>
  <c r="F24" i="1"/>
  <c r="F28" i="1"/>
  <c r="F32" i="1"/>
  <c r="F36" i="1"/>
  <c r="F40" i="1"/>
  <c r="F44" i="1"/>
  <c r="F45" i="1"/>
  <c r="F41" i="1"/>
  <c r="F37" i="1"/>
  <c r="F33" i="1"/>
  <c r="F29" i="1"/>
  <c r="F25" i="1"/>
  <c r="J47" i="1"/>
  <c r="H47" i="1" l="1"/>
  <c r="L22" i="1" s="1"/>
  <c r="G49" i="1"/>
  <c r="F47" i="1"/>
  <c r="K22" i="1"/>
  <c r="H51" i="1" s="1"/>
  <c r="G51" i="1" s="1"/>
  <c r="F51" i="1" l="1"/>
  <c r="E51" i="1" s="1"/>
</calcChain>
</file>

<file path=xl/sharedStrings.xml><?xml version="1.0" encoding="utf-8"?>
<sst xmlns="http://schemas.openxmlformats.org/spreadsheetml/2006/main" count="41" uniqueCount="40">
  <si>
    <t>Pieces</t>
  </si>
  <si>
    <t>Length</t>
  </si>
  <si>
    <t>Width</t>
  </si>
  <si>
    <t>Height</t>
  </si>
  <si>
    <t>Dim Weight</t>
  </si>
  <si>
    <t xml:space="preserve">Chargeable weight of this shipment is: </t>
  </si>
  <si>
    <t>Gateway/ CFS Name:</t>
  </si>
  <si>
    <t>Shipper Name:</t>
  </si>
  <si>
    <t>MAWB Number:</t>
  </si>
  <si>
    <t>Destination:</t>
  </si>
  <si>
    <t>Origin:</t>
  </si>
  <si>
    <t>Cash Only:</t>
  </si>
  <si>
    <t>Booked in ACOMS:</t>
  </si>
  <si>
    <t>Export Customs Completed:</t>
  </si>
  <si>
    <t>Documents Provided:</t>
  </si>
  <si>
    <t>MAWB Weight (Greatest Shipper Reported Weight):</t>
  </si>
  <si>
    <t>Loose Tender:</t>
  </si>
  <si>
    <t>[((L x W x H) x # pieces) / 194 pounds]</t>
  </si>
  <si>
    <t>AWB Reported Piece:</t>
  </si>
  <si>
    <t>Print Name:</t>
  </si>
  <si>
    <t>Date / Time:</t>
  </si>
  <si>
    <t>Dock Signature:</t>
  </si>
  <si>
    <t>Remarks:</t>
  </si>
  <si>
    <t>[((L x W x H) x # pieces) / 366 kilos]</t>
  </si>
  <si>
    <t>UPS Air Cargo Dock Receipt</t>
  </si>
  <si>
    <t>Pre-built / Shipper Built:</t>
  </si>
  <si>
    <t>Piece Count:</t>
  </si>
  <si>
    <t xml:space="preserve">Actual weight of this shipment is: </t>
  </si>
  <si>
    <r>
      <t xml:space="preserve">Scale Weight
in </t>
    </r>
    <r>
      <rPr>
        <b/>
        <sz val="10"/>
        <rFont val="Tahoma"/>
        <family val="2"/>
      </rPr>
      <t>LBS</t>
    </r>
  </si>
  <si>
    <t>Dim Wight for LBS</t>
  </si>
  <si>
    <t>Scale Weight in KGS</t>
  </si>
  <si>
    <t>Dim Weight in KGS</t>
  </si>
  <si>
    <t>INTL Chargeable WT In KGS</t>
  </si>
  <si>
    <t>DOM CHG WT</t>
  </si>
  <si>
    <t>SDQ</t>
  </si>
  <si>
    <t>EMMANUEL SANTANA</t>
  </si>
  <si>
    <t>MIA</t>
  </si>
  <si>
    <t>DAVIS &amp; GECKS</t>
  </si>
  <si>
    <t>406-05697005</t>
  </si>
  <si>
    <t>DRY CARGO HAWB 396162040T PHL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</si>
</sst>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_(* #,##0.000_);_(* \(#,##0.000\);_(* &quot;-&quot;??_);_(@_)"/>
  </numFmts>
  <fonts count="13" x14ac:knownFonts="1">
    <font>
      <sz val="10"/>
      <name val="Arial"/>
    </font>
    <font>
      <sz val="10"/>
      <name val="Arial"/>
      <family val="2"/>
    </font>
    <font>
      <sz val="8"/>
      <name val="Tahoma"/>
      <family val="2"/>
    </font>
    <font>
      <sz val="8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b/>
      <sz val="14"/>
      <name val="Tahoma"/>
      <family val="2"/>
    </font>
    <font>
      <sz val="10"/>
      <color indexed="9"/>
      <name val="Tahoma"/>
      <family val="2"/>
    </font>
    <font>
      <sz val="10"/>
      <color indexed="10"/>
      <name val="Tahoma"/>
      <family val="2"/>
    </font>
    <font>
      <sz val="8"/>
      <color indexed="10"/>
      <name val="Tahoma"/>
      <family val="2"/>
    </font>
    <font>
      <sz val="8"/>
      <color indexed="9"/>
      <name val="Tahoma"/>
      <family val="2"/>
    </font>
    <font>
      <b/>
      <sz val="10"/>
      <color indexed="9"/>
      <name val="Tahoma"/>
      <family val="2"/>
    </font>
    <font>
      <sz val="8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 wrapText="1"/>
    </xf>
    <xf numFmtId="0" fontId="4" fillId="2" borderId="0" xfId="0" applyFont="1" applyFill="1" applyAlignment="1">
      <alignment horizontal="right"/>
    </xf>
    <xf numFmtId="0" fontId="4" fillId="2" borderId="0" xfId="0" applyFont="1" applyFill="1" applyAlignment="1">
      <alignment horizontal="center" wrapText="1"/>
    </xf>
    <xf numFmtId="0" fontId="4" fillId="2" borderId="0" xfId="0" applyFont="1" applyFill="1"/>
    <xf numFmtId="0" fontId="5" fillId="0" borderId="0" xfId="0" applyFont="1"/>
    <xf numFmtId="0" fontId="4" fillId="3" borderId="1" xfId="0" applyFont="1" applyFill="1" applyBorder="1" applyAlignment="1">
      <alignment horizontal="center"/>
    </xf>
    <xf numFmtId="0" fontId="5" fillId="4" borderId="0" xfId="0" applyFont="1" applyFill="1"/>
    <xf numFmtId="1" fontId="4" fillId="0" borderId="1" xfId="1" applyNumberFormat="1" applyFont="1" applyBorder="1" applyProtection="1">
      <protection locked="0"/>
    </xf>
    <xf numFmtId="0" fontId="8" fillId="0" borderId="0" xfId="0" applyFont="1"/>
    <xf numFmtId="2" fontId="4" fillId="0" borderId="1" xfId="1" applyNumberFormat="1" applyFont="1" applyBorder="1" applyProtection="1"/>
    <xf numFmtId="3" fontId="5" fillId="0" borderId="1" xfId="1" applyNumberFormat="1" applyFont="1" applyFill="1" applyBorder="1" applyProtection="1"/>
    <xf numFmtId="1" fontId="5" fillId="0" borderId="1" xfId="1" applyNumberFormat="1" applyFont="1" applyFill="1" applyBorder="1" applyProtection="1"/>
    <xf numFmtId="1" fontId="5" fillId="0" borderId="1" xfId="0" applyNumberFormat="1" applyFont="1" applyBorder="1"/>
    <xf numFmtId="1" fontId="7" fillId="0" borderId="0" xfId="0" applyNumberFormat="1" applyFont="1"/>
    <xf numFmtId="0" fontId="7" fillId="0" borderId="0" xfId="0" applyFont="1"/>
    <xf numFmtId="0" fontId="9" fillId="0" borderId="0" xfId="0" applyFont="1"/>
    <xf numFmtId="0" fontId="4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2" fillId="0" borderId="0" xfId="0" applyFont="1" applyProtection="1">
      <protection locked="0"/>
    </xf>
    <xf numFmtId="0" fontId="10" fillId="0" borderId="0" xfId="0" applyFont="1"/>
    <xf numFmtId="1" fontId="5" fillId="0" borderId="0" xfId="0" applyNumberFormat="1" applyFont="1"/>
    <xf numFmtId="1" fontId="5" fillId="0" borderId="0" xfId="1" applyNumberFormat="1" applyFont="1" applyFill="1" applyBorder="1" applyProtection="1"/>
    <xf numFmtId="0" fontId="4" fillId="0" borderId="0" xfId="0" applyFont="1" applyAlignment="1">
      <alignment wrapText="1"/>
    </xf>
    <xf numFmtId="0" fontId="4" fillId="3" borderId="1" xfId="0" applyFont="1" applyFill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43" fontId="7" fillId="0" borderId="0" xfId="1" applyFont="1" applyFill="1" applyBorder="1" applyProtection="1"/>
    <xf numFmtId="3" fontId="7" fillId="0" borderId="0" xfId="0" applyNumberFormat="1" applyFont="1"/>
    <xf numFmtId="43" fontId="7" fillId="0" borderId="0" xfId="1" applyFont="1" applyFill="1" applyProtection="1"/>
    <xf numFmtId="0" fontId="11" fillId="0" borderId="0" xfId="0" applyFont="1"/>
    <xf numFmtId="3" fontId="11" fillId="0" borderId="0" xfId="1" applyNumberFormat="1" applyFont="1" applyFill="1" applyBorder="1" applyProtection="1"/>
    <xf numFmtId="1" fontId="7" fillId="0" borderId="0" xfId="0" applyNumberFormat="1" applyFont="1" applyAlignment="1">
      <alignment horizontal="left" indent="2"/>
    </xf>
    <xf numFmtId="164" fontId="5" fillId="4" borderId="0" xfId="1" applyNumberFormat="1" applyFont="1" applyFill="1" applyAlignment="1" applyProtection="1">
      <alignment horizontal="right"/>
    </xf>
    <xf numFmtId="43" fontId="5" fillId="4" borderId="0" xfId="1" applyFont="1" applyFill="1" applyAlignment="1" applyProtection="1">
      <alignment horizontal="right"/>
    </xf>
    <xf numFmtId="0" fontId="8" fillId="0" borderId="0" xfId="0" applyFont="1" applyAlignment="1">
      <alignment horizontal="right"/>
    </xf>
    <xf numFmtId="43" fontId="5" fillId="4" borderId="1" xfId="1" applyFont="1" applyFill="1" applyBorder="1" applyAlignment="1" applyProtection="1">
      <alignment horizontal="right"/>
    </xf>
    <xf numFmtId="1" fontId="5" fillId="4" borderId="1" xfId="1" applyNumberFormat="1" applyFont="1" applyFill="1" applyBorder="1" applyAlignment="1" applyProtection="1">
      <alignment horizontal="right"/>
    </xf>
    <xf numFmtId="0" fontId="4" fillId="0" borderId="0" xfId="0" applyFont="1" applyAlignment="1">
      <alignment horizontal="right" vertical="top" wrapText="1"/>
    </xf>
    <xf numFmtId="0" fontId="4" fillId="0" borderId="0" xfId="0" applyFont="1" applyAlignment="1">
      <alignment horizontal="right"/>
    </xf>
    <xf numFmtId="0" fontId="4" fillId="0" borderId="2" xfId="0" applyFont="1" applyBorder="1" applyAlignment="1" applyProtection="1">
      <alignment horizontal="center"/>
      <protection locked="0"/>
    </xf>
    <xf numFmtId="3" fontId="4" fillId="0" borderId="3" xfId="0" applyNumberFormat="1" applyFont="1" applyBorder="1" applyAlignment="1" applyProtection="1">
      <alignment horizontal="center"/>
      <protection locked="0"/>
    </xf>
    <xf numFmtId="0" fontId="4" fillId="0" borderId="3" xfId="0" applyFont="1" applyBorder="1" applyAlignment="1" applyProtection="1">
      <alignment horizontal="center"/>
      <protection locked="0"/>
    </xf>
    <xf numFmtId="0" fontId="5" fillId="0" borderId="0" xfId="0" applyFont="1" applyAlignment="1">
      <alignment horizontal="center"/>
    </xf>
    <xf numFmtId="14" fontId="4" fillId="0" borderId="3" xfId="0" applyNumberFormat="1" applyFont="1" applyBorder="1" applyAlignment="1" applyProtection="1">
      <alignment horizontal="center"/>
      <protection locked="0"/>
    </xf>
    <xf numFmtId="1" fontId="4" fillId="0" borderId="3" xfId="0" applyNumberFormat="1" applyFont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1" defaultTableStyle="TableStyleMedium9" defaultPivotStyle="PivotStyleLight16">
    <tableStyle name="Invisible" pivot="0" table="0" count="0" xr9:uid="{40C1379E-13F4-4E88-A8F5-6A64CC1E693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Radio" firstButton="1" fmlaLink="$A$1" lockText="1" noThreeD="1"/>
</file>

<file path=xl/ctrlProps/ctrlProp12.xml><?xml version="1.0" encoding="utf-8"?>
<formControlPr xmlns="http://schemas.microsoft.com/office/spreadsheetml/2009/9/main" objectType="Radio" checked="Checked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323850</xdr:colOff>
      <xdr:row>0</xdr:row>
      <xdr:rowOff>0</xdr:rowOff>
    </xdr:from>
    <xdr:to>
      <xdr:col>9</xdr:col>
      <xdr:colOff>238125</xdr:colOff>
      <xdr:row>3</xdr:row>
      <xdr:rowOff>66675</xdr:rowOff>
    </xdr:to>
    <xdr:sp macro="" textlink="">
      <xdr:nvSpPr>
        <xdr:cNvPr id="1095" name="Rectangle 37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SpPr>
          <a:spLocks noChangeArrowheads="1"/>
        </xdr:cNvSpPr>
      </xdr:nvSpPr>
      <xdr:spPr bwMode="auto">
        <a:xfrm>
          <a:off x="3952875" y="0"/>
          <a:ext cx="2857500" cy="6953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E2K shipment number sticker goes here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47625</xdr:rowOff>
    </xdr:from>
    <xdr:to>
      <xdr:col>1</xdr:col>
      <xdr:colOff>514350</xdr:colOff>
      <xdr:row>4</xdr:row>
      <xdr:rowOff>85725</xdr:rowOff>
    </xdr:to>
    <xdr:pic>
      <xdr:nvPicPr>
        <xdr:cNvPr id="1103" name="Picture 73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47625"/>
          <a:ext cx="714375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47625</xdr:colOff>
      <xdr:row>19</xdr:row>
      <xdr:rowOff>38100</xdr:rowOff>
    </xdr:from>
    <xdr:to>
      <xdr:col>8</xdr:col>
      <xdr:colOff>571500</xdr:colOff>
      <xdr:row>28</xdr:row>
      <xdr:rowOff>38100</xdr:rowOff>
    </xdr:to>
    <xdr:pic>
      <xdr:nvPicPr>
        <xdr:cNvPr id="1104" name="Picture 79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6580"/>
        <a:stretch>
          <a:fillRect/>
        </a:stretch>
      </xdr:blipFill>
      <xdr:spPr bwMode="auto">
        <a:xfrm>
          <a:off x="5372100" y="3086100"/>
          <a:ext cx="1162050" cy="1571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3</xdr:row>
          <xdr:rowOff>200025</xdr:rowOff>
        </xdr:from>
        <xdr:to>
          <xdr:col>7</xdr:col>
          <xdr:colOff>571500</xdr:colOff>
          <xdr:row>5</xdr:row>
          <xdr:rowOff>47625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3</xdr:row>
          <xdr:rowOff>200025</xdr:rowOff>
        </xdr:from>
        <xdr:to>
          <xdr:col>8</xdr:col>
          <xdr:colOff>561975</xdr:colOff>
          <xdr:row>5</xdr:row>
          <xdr:rowOff>47625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4</xdr:row>
          <xdr:rowOff>200025</xdr:rowOff>
        </xdr:from>
        <xdr:to>
          <xdr:col>7</xdr:col>
          <xdr:colOff>571500</xdr:colOff>
          <xdr:row>6</xdr:row>
          <xdr:rowOff>47625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4</xdr:row>
          <xdr:rowOff>200025</xdr:rowOff>
        </xdr:from>
        <xdr:to>
          <xdr:col>8</xdr:col>
          <xdr:colOff>561975</xdr:colOff>
          <xdr:row>6</xdr:row>
          <xdr:rowOff>47625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190500</xdr:colOff>
          <xdr:row>8</xdr:row>
          <xdr:rowOff>152400</xdr:rowOff>
        </xdr:from>
        <xdr:to>
          <xdr:col>5</xdr:col>
          <xdr:colOff>723900</xdr:colOff>
          <xdr:row>10</xdr:row>
          <xdr:rowOff>38100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Kg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609600</xdr:colOff>
          <xdr:row>8</xdr:row>
          <xdr:rowOff>152400</xdr:rowOff>
        </xdr:from>
        <xdr:to>
          <xdr:col>6</xdr:col>
          <xdr:colOff>295275</xdr:colOff>
          <xdr:row>10</xdr:row>
          <xdr:rowOff>38100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Lb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5</xdr:row>
          <xdr:rowOff>219075</xdr:rowOff>
        </xdr:from>
        <xdr:to>
          <xdr:col>7</xdr:col>
          <xdr:colOff>571500</xdr:colOff>
          <xdr:row>7</xdr:row>
          <xdr:rowOff>47625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5</xdr:row>
          <xdr:rowOff>219075</xdr:rowOff>
        </xdr:from>
        <xdr:to>
          <xdr:col>8</xdr:col>
          <xdr:colOff>561975</xdr:colOff>
          <xdr:row>7</xdr:row>
          <xdr:rowOff>47625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6</xdr:row>
          <xdr:rowOff>200025</xdr:rowOff>
        </xdr:from>
        <xdr:to>
          <xdr:col>7</xdr:col>
          <xdr:colOff>571500</xdr:colOff>
          <xdr:row>8</xdr:row>
          <xdr:rowOff>47625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6</xdr:row>
          <xdr:rowOff>200025</xdr:rowOff>
        </xdr:from>
        <xdr:to>
          <xdr:col>8</xdr:col>
          <xdr:colOff>561975</xdr:colOff>
          <xdr:row>8</xdr:row>
          <xdr:rowOff>47625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15</xdr:row>
          <xdr:rowOff>133350</xdr:rowOff>
        </xdr:from>
        <xdr:to>
          <xdr:col>3</xdr:col>
          <xdr:colOff>790575</xdr:colOff>
          <xdr:row>17</xdr:row>
          <xdr:rowOff>28575</xdr:rowOff>
        </xdr:to>
        <xdr:sp macro="" textlink="">
          <xdr:nvSpPr>
            <xdr:cNvPr id="1088" name="Option Button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Domestic in LBS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16</xdr:row>
          <xdr:rowOff>133350</xdr:rowOff>
        </xdr:from>
        <xdr:to>
          <xdr:col>3</xdr:col>
          <xdr:colOff>657225</xdr:colOff>
          <xdr:row>18</xdr:row>
          <xdr:rowOff>28575</xdr:rowOff>
        </xdr:to>
        <xdr:sp macro="" textlink="">
          <xdr:nvSpPr>
            <xdr:cNvPr id="1089" name="Option Button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International in KGS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7</xdr:row>
          <xdr:rowOff>161925</xdr:rowOff>
        </xdr:from>
        <xdr:to>
          <xdr:col>7</xdr:col>
          <xdr:colOff>571500</xdr:colOff>
          <xdr:row>9</xdr:row>
          <xdr:rowOff>47625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7</xdr:row>
          <xdr:rowOff>152400</xdr:rowOff>
        </xdr:from>
        <xdr:to>
          <xdr:col>8</xdr:col>
          <xdr:colOff>561975</xdr:colOff>
          <xdr:row>9</xdr:row>
          <xdr:rowOff>38100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57"/>
  <sheetViews>
    <sheetView tabSelected="1" topLeftCell="A33" workbookViewId="0">
      <selection activeCell="C56" sqref="C56:E56"/>
    </sheetView>
  </sheetViews>
  <sheetFormatPr defaultRowHeight="12.75" x14ac:dyDescent="0.2"/>
  <cols>
    <col min="1" max="1" width="3.5703125" style="1" bestFit="1" customWidth="1"/>
    <col min="2" max="7" width="12.7109375" style="4" customWidth="1"/>
    <col min="8" max="8" width="9.5703125" style="4" bestFit="1" customWidth="1"/>
    <col min="9" max="9" width="9.140625" style="4"/>
    <col min="10" max="10" width="14.28515625" style="4" bestFit="1" customWidth="1"/>
    <col min="11" max="16384" width="9.140625" style="4"/>
  </cols>
  <sheetData>
    <row r="1" spans="1:13" ht="18" x14ac:dyDescent="0.25">
      <c r="A1" s="24">
        <v>2</v>
      </c>
      <c r="B1" s="48" t="s">
        <v>24</v>
      </c>
      <c r="C1" s="48"/>
      <c r="D1" s="48"/>
      <c r="E1" s="48"/>
      <c r="F1" s="3"/>
      <c r="G1" s="3"/>
      <c r="H1" s="3"/>
      <c r="I1" s="3"/>
    </row>
    <row r="2" spans="1:13" ht="18" x14ac:dyDescent="0.25">
      <c r="B2" s="2"/>
      <c r="C2" s="2"/>
      <c r="D2" s="2"/>
      <c r="E2" s="2"/>
      <c r="F2" s="3"/>
      <c r="G2" s="3"/>
      <c r="H2" s="3"/>
      <c r="I2" s="3"/>
    </row>
    <row r="3" spans="1:13" ht="13.5" thickBot="1" x14ac:dyDescent="0.25">
      <c r="B3" s="44" t="s">
        <v>6</v>
      </c>
      <c r="C3" s="44"/>
      <c r="D3" s="47" t="s">
        <v>34</v>
      </c>
      <c r="E3" s="47"/>
      <c r="F3" s="44"/>
      <c r="G3" s="44"/>
    </row>
    <row r="4" spans="1:13" ht="13.5" thickBot="1" x14ac:dyDescent="0.25">
      <c r="B4" s="44" t="s">
        <v>7</v>
      </c>
      <c r="C4" s="44"/>
      <c r="D4" s="45" t="s">
        <v>37</v>
      </c>
      <c r="E4" s="45"/>
      <c r="F4" s="44"/>
      <c r="G4" s="44"/>
    </row>
    <row r="5" spans="1:13" ht="13.5" thickBot="1" x14ac:dyDescent="0.25">
      <c r="B5" s="44" t="s">
        <v>8</v>
      </c>
      <c r="C5" s="44"/>
      <c r="D5" s="45" t="s">
        <v>38</v>
      </c>
      <c r="E5" s="45"/>
      <c r="F5" s="44" t="s">
        <v>11</v>
      </c>
      <c r="G5" s="44"/>
    </row>
    <row r="6" spans="1:13" ht="13.5" thickBot="1" x14ac:dyDescent="0.25">
      <c r="B6" s="44" t="s">
        <v>10</v>
      </c>
      <c r="C6" s="44"/>
      <c r="D6" s="45" t="s">
        <v>34</v>
      </c>
      <c r="E6" s="45"/>
      <c r="F6" s="44" t="s">
        <v>12</v>
      </c>
      <c r="G6" s="44"/>
    </row>
    <row r="7" spans="1:13" ht="13.5" thickBot="1" x14ac:dyDescent="0.25">
      <c r="B7" s="44" t="s">
        <v>9</v>
      </c>
      <c r="C7" s="44"/>
      <c r="D7" s="45" t="s">
        <v>36</v>
      </c>
      <c r="E7" s="45"/>
      <c r="F7" s="44" t="s">
        <v>14</v>
      </c>
      <c r="G7" s="44"/>
    </row>
    <row r="8" spans="1:13" ht="13.5" thickBot="1" x14ac:dyDescent="0.25">
      <c r="B8" s="44" t="s">
        <v>18</v>
      </c>
      <c r="C8" s="44"/>
      <c r="D8" s="45">
        <v>2</v>
      </c>
      <c r="E8" s="45"/>
      <c r="F8" s="44" t="s">
        <v>13</v>
      </c>
      <c r="G8" s="44"/>
    </row>
    <row r="9" spans="1:13" x14ac:dyDescent="0.2">
      <c r="B9" s="43" t="s">
        <v>15</v>
      </c>
      <c r="C9" s="43"/>
      <c r="D9" s="22"/>
      <c r="E9" s="22"/>
      <c r="F9" s="44" t="s">
        <v>25</v>
      </c>
      <c r="G9" s="44"/>
    </row>
    <row r="10" spans="1:13" ht="14.25" customHeight="1" thickBot="1" x14ac:dyDescent="0.25">
      <c r="B10" s="43"/>
      <c r="C10" s="43"/>
      <c r="D10" s="46">
        <v>452</v>
      </c>
      <c r="E10" s="47"/>
      <c r="F10" s="28"/>
      <c r="G10" s="28"/>
    </row>
    <row r="11" spans="1:13" ht="5.25" customHeight="1" x14ac:dyDescent="0.2">
      <c r="B11" s="5"/>
      <c r="C11" s="5"/>
      <c r="D11" s="5"/>
      <c r="E11" s="5"/>
      <c r="F11" s="6"/>
      <c r="G11" s="6"/>
    </row>
    <row r="12" spans="1:13" ht="6.75" customHeight="1" x14ac:dyDescent="0.2">
      <c r="B12" s="5"/>
      <c r="C12" s="5"/>
      <c r="D12" s="5"/>
      <c r="E12" s="5"/>
      <c r="F12" s="6"/>
      <c r="G12" s="6"/>
    </row>
    <row r="13" spans="1:13" ht="6.75" customHeight="1" x14ac:dyDescent="0.2">
      <c r="B13" s="7"/>
      <c r="C13" s="7"/>
      <c r="D13" s="7"/>
      <c r="E13" s="7"/>
      <c r="F13" s="8"/>
      <c r="G13" s="8"/>
      <c r="H13" s="9"/>
      <c r="I13" s="9"/>
    </row>
    <row r="14" spans="1:13" x14ac:dyDescent="0.2">
      <c r="B14" s="10" t="s">
        <v>16</v>
      </c>
    </row>
    <row r="15" spans="1:13" ht="13.5" thickBot="1" x14ac:dyDescent="0.25">
      <c r="B15" s="23"/>
      <c r="C15" s="5" t="s">
        <v>26</v>
      </c>
      <c r="D15" s="50">
        <f>+B47</f>
        <v>2</v>
      </c>
      <c r="E15" s="47"/>
      <c r="F15" s="5"/>
    </row>
    <row r="16" spans="1:13" x14ac:dyDescent="0.2">
      <c r="B16" s="10"/>
      <c r="H16" s="20"/>
      <c r="I16" s="20"/>
      <c r="J16" s="20"/>
      <c r="K16" s="20"/>
      <c r="L16" s="20"/>
      <c r="M16" s="20"/>
    </row>
    <row r="17" spans="1:14" x14ac:dyDescent="0.2">
      <c r="A17" s="25" t="str">
        <f>IF(A1=1,"194", "366")</f>
        <v>366</v>
      </c>
      <c r="B17" s="20"/>
      <c r="E17" s="4" t="s">
        <v>17</v>
      </c>
      <c r="H17" s="20"/>
      <c r="I17" s="20"/>
      <c r="J17" s="20"/>
      <c r="K17" s="20"/>
      <c r="L17" s="20"/>
      <c r="M17" s="20"/>
    </row>
    <row r="18" spans="1:14" x14ac:dyDescent="0.2">
      <c r="A18" s="21"/>
      <c r="B18" s="20"/>
      <c r="E18" s="4" t="s">
        <v>23</v>
      </c>
      <c r="H18" s="20"/>
      <c r="I18" s="20"/>
      <c r="J18" s="20"/>
      <c r="K18" s="20"/>
      <c r="L18" s="20"/>
      <c r="M18" s="20"/>
    </row>
    <row r="19" spans="1:14" x14ac:dyDescent="0.2">
      <c r="A19" s="21"/>
      <c r="B19" s="20"/>
      <c r="H19" s="20"/>
      <c r="I19" s="20"/>
      <c r="J19" s="20"/>
      <c r="K19" s="20"/>
      <c r="L19" s="20"/>
      <c r="M19" s="20"/>
    </row>
    <row r="20" spans="1:14" ht="6.75" customHeight="1" x14ac:dyDescent="0.2">
      <c r="A20" s="21"/>
      <c r="H20" s="20"/>
      <c r="I20" s="20"/>
      <c r="J20" s="20"/>
      <c r="K20" s="20"/>
      <c r="L20" s="20"/>
      <c r="M20" s="20"/>
    </row>
    <row r="21" spans="1:14" ht="27.75" customHeight="1" x14ac:dyDescent="0.2">
      <c r="B21" s="11" t="s">
        <v>0</v>
      </c>
      <c r="C21" s="11" t="s">
        <v>1</v>
      </c>
      <c r="D21" s="11" t="s">
        <v>2</v>
      </c>
      <c r="E21" s="11" t="s">
        <v>3</v>
      </c>
      <c r="F21" s="11" t="s">
        <v>4</v>
      </c>
      <c r="G21" s="29" t="s">
        <v>28</v>
      </c>
      <c r="H21" s="30" t="s">
        <v>29</v>
      </c>
      <c r="I21" s="30" t="s">
        <v>30</v>
      </c>
      <c r="J21" s="30" t="s">
        <v>31</v>
      </c>
      <c r="K21" s="31" t="s">
        <v>32</v>
      </c>
      <c r="L21" s="20" t="s">
        <v>33</v>
      </c>
      <c r="M21" s="20"/>
      <c r="N21" s="14"/>
    </row>
    <row r="22" spans="1:14" x14ac:dyDescent="0.2">
      <c r="A22" s="1">
        <v>1</v>
      </c>
      <c r="B22" s="13">
        <v>1</v>
      </c>
      <c r="C22" s="13">
        <v>48</v>
      </c>
      <c r="D22" s="13">
        <v>40</v>
      </c>
      <c r="E22" s="13">
        <v>40</v>
      </c>
      <c r="F22" s="15">
        <f>(((C22*D22*E22)*B22)/$A$17)</f>
        <v>209.8360655737705</v>
      </c>
      <c r="G22" s="13">
        <f>+D10</f>
        <v>452</v>
      </c>
      <c r="H22" s="32">
        <f>(((C22*D22*E22)*B22)/194)</f>
        <v>395.87628865979383</v>
      </c>
      <c r="I22" s="20">
        <f>G22/2.2046</f>
        <v>205.025855030391</v>
      </c>
      <c r="J22" s="32">
        <f>(((C22*D22*E22)*B22)/366)</f>
        <v>209.8360655737705</v>
      </c>
      <c r="K22" s="20">
        <f>MAX(I47:J47)</f>
        <v>561.31147540983602</v>
      </c>
      <c r="L22" s="19">
        <f>MAX(G47:H47)</f>
        <v>1058.9690721649486</v>
      </c>
      <c r="M22" s="20"/>
      <c r="N22" s="14"/>
    </row>
    <row r="23" spans="1:14" x14ac:dyDescent="0.2">
      <c r="A23" s="1">
        <v>2</v>
      </c>
      <c r="B23" s="13">
        <v>1</v>
      </c>
      <c r="C23" s="13">
        <v>48</v>
      </c>
      <c r="D23" s="13">
        <v>40</v>
      </c>
      <c r="E23" s="13">
        <v>67</v>
      </c>
      <c r="F23" s="15">
        <f>(((C23*D23*E23)*B23)/$A$17)</f>
        <v>351.47540983606558</v>
      </c>
      <c r="G23" s="13"/>
      <c r="H23" s="32">
        <f>(((C23*D23*E23)*B23)/194)</f>
        <v>663.09278350515467</v>
      </c>
      <c r="I23" s="20">
        <f t="shared" ref="I23:I46" si="0">G23/2.2046</f>
        <v>0</v>
      </c>
      <c r="J23" s="32">
        <f t="shared" ref="J23:J46" si="1">(((C23*D23*E23)*B23)/366)</f>
        <v>351.47540983606558</v>
      </c>
      <c r="K23" s="20"/>
      <c r="L23" s="20"/>
      <c r="M23" s="20"/>
      <c r="N23" s="14"/>
    </row>
    <row r="24" spans="1:14" x14ac:dyDescent="0.2">
      <c r="A24" s="1">
        <v>3</v>
      </c>
      <c r="B24" s="13"/>
      <c r="C24" s="13"/>
      <c r="D24" s="13"/>
      <c r="E24" s="13"/>
      <c r="F24" s="15">
        <f t="shared" ref="F24:F46" si="2">(((C24*D24*E24)*B24)/$A$17)</f>
        <v>0</v>
      </c>
      <c r="G24" s="13"/>
      <c r="H24" s="32">
        <f t="shared" ref="H24:H46" si="3">(((C24*D24*E24)*B24)/194)</f>
        <v>0</v>
      </c>
      <c r="I24" s="20">
        <f t="shared" si="0"/>
        <v>0</v>
      </c>
      <c r="J24" s="32">
        <f t="shared" si="1"/>
        <v>0</v>
      </c>
      <c r="K24" s="20"/>
      <c r="L24" s="20"/>
      <c r="M24" s="20"/>
      <c r="N24" s="14"/>
    </row>
    <row r="25" spans="1:14" x14ac:dyDescent="0.2">
      <c r="A25" s="1">
        <v>4</v>
      </c>
      <c r="B25" s="13"/>
      <c r="C25" s="13"/>
      <c r="D25" s="13"/>
      <c r="E25" s="13"/>
      <c r="F25" s="15">
        <f t="shared" si="2"/>
        <v>0</v>
      </c>
      <c r="G25" s="13"/>
      <c r="H25" s="32">
        <f t="shared" si="3"/>
        <v>0</v>
      </c>
      <c r="I25" s="20">
        <f t="shared" si="0"/>
        <v>0</v>
      </c>
      <c r="J25" s="32">
        <f t="shared" si="1"/>
        <v>0</v>
      </c>
      <c r="K25" s="20"/>
      <c r="L25" s="20"/>
      <c r="M25" s="20"/>
      <c r="N25" s="14"/>
    </row>
    <row r="26" spans="1:14" x14ac:dyDescent="0.2">
      <c r="A26" s="1">
        <v>5</v>
      </c>
      <c r="B26" s="13"/>
      <c r="C26" s="13"/>
      <c r="D26" s="13"/>
      <c r="E26" s="13"/>
      <c r="F26" s="15">
        <f t="shared" si="2"/>
        <v>0</v>
      </c>
      <c r="G26" s="13"/>
      <c r="H26" s="32">
        <f t="shared" si="3"/>
        <v>0</v>
      </c>
      <c r="I26" s="20">
        <f t="shared" si="0"/>
        <v>0</v>
      </c>
      <c r="J26" s="32">
        <f t="shared" si="1"/>
        <v>0</v>
      </c>
      <c r="K26" s="20"/>
      <c r="L26" s="20"/>
      <c r="M26" s="20"/>
      <c r="N26" s="14"/>
    </row>
    <row r="27" spans="1:14" x14ac:dyDescent="0.2">
      <c r="A27" s="1">
        <v>6</v>
      </c>
      <c r="B27" s="13"/>
      <c r="C27" s="13"/>
      <c r="D27" s="13"/>
      <c r="E27" s="13"/>
      <c r="F27" s="15">
        <f t="shared" si="2"/>
        <v>0</v>
      </c>
      <c r="G27" s="13"/>
      <c r="H27" s="32">
        <f t="shared" si="3"/>
        <v>0</v>
      </c>
      <c r="I27" s="20">
        <f t="shared" si="0"/>
        <v>0</v>
      </c>
      <c r="J27" s="32">
        <f t="shared" si="1"/>
        <v>0</v>
      </c>
      <c r="K27" s="20"/>
      <c r="L27" s="20"/>
      <c r="M27" s="20"/>
      <c r="N27" s="14"/>
    </row>
    <row r="28" spans="1:14" x14ac:dyDescent="0.2">
      <c r="A28" s="1">
        <v>7</v>
      </c>
      <c r="B28" s="13"/>
      <c r="C28" s="13"/>
      <c r="D28" s="13"/>
      <c r="E28" s="13"/>
      <c r="F28" s="15">
        <f t="shared" si="2"/>
        <v>0</v>
      </c>
      <c r="G28" s="13"/>
      <c r="H28" s="32">
        <f t="shared" si="3"/>
        <v>0</v>
      </c>
      <c r="I28" s="20">
        <f t="shared" si="0"/>
        <v>0</v>
      </c>
      <c r="J28" s="32">
        <f t="shared" si="1"/>
        <v>0</v>
      </c>
      <c r="K28" s="20"/>
      <c r="L28" s="20"/>
      <c r="M28" s="20"/>
      <c r="N28" s="14"/>
    </row>
    <row r="29" spans="1:14" x14ac:dyDescent="0.2">
      <c r="A29" s="1">
        <v>8</v>
      </c>
      <c r="B29" s="13"/>
      <c r="C29" s="13"/>
      <c r="D29" s="13"/>
      <c r="E29" s="13"/>
      <c r="F29" s="15">
        <f t="shared" si="2"/>
        <v>0</v>
      </c>
      <c r="G29" s="13"/>
      <c r="H29" s="32">
        <f t="shared" si="3"/>
        <v>0</v>
      </c>
      <c r="I29" s="20">
        <f t="shared" si="0"/>
        <v>0</v>
      </c>
      <c r="J29" s="32">
        <f t="shared" si="1"/>
        <v>0</v>
      </c>
      <c r="K29" s="20"/>
      <c r="L29" s="20"/>
      <c r="M29" s="20"/>
      <c r="N29" s="14"/>
    </row>
    <row r="30" spans="1:14" x14ac:dyDescent="0.2">
      <c r="A30" s="1">
        <v>9</v>
      </c>
      <c r="B30" s="13"/>
      <c r="C30" s="13"/>
      <c r="D30" s="13"/>
      <c r="E30" s="13"/>
      <c r="F30" s="15">
        <f t="shared" si="2"/>
        <v>0</v>
      </c>
      <c r="G30" s="13"/>
      <c r="H30" s="32">
        <f t="shared" si="3"/>
        <v>0</v>
      </c>
      <c r="I30" s="20">
        <f t="shared" si="0"/>
        <v>0</v>
      </c>
      <c r="J30" s="32">
        <f t="shared" si="1"/>
        <v>0</v>
      </c>
      <c r="K30" s="20"/>
      <c r="L30" s="20"/>
      <c r="M30" s="20"/>
      <c r="N30" s="14"/>
    </row>
    <row r="31" spans="1:14" x14ac:dyDescent="0.2">
      <c r="A31" s="1">
        <v>10</v>
      </c>
      <c r="B31" s="13"/>
      <c r="C31" s="13"/>
      <c r="D31" s="13"/>
      <c r="E31" s="13"/>
      <c r="F31" s="15">
        <f t="shared" si="2"/>
        <v>0</v>
      </c>
      <c r="G31" s="13"/>
      <c r="H31" s="32">
        <f t="shared" si="3"/>
        <v>0</v>
      </c>
      <c r="I31" s="20">
        <f t="shared" si="0"/>
        <v>0</v>
      </c>
      <c r="J31" s="32">
        <f t="shared" si="1"/>
        <v>0</v>
      </c>
      <c r="K31" s="20"/>
      <c r="L31" s="20"/>
      <c r="M31" s="20"/>
      <c r="N31" s="14"/>
    </row>
    <row r="32" spans="1:14" x14ac:dyDescent="0.2">
      <c r="A32" s="1">
        <v>11</v>
      </c>
      <c r="B32" s="13"/>
      <c r="C32" s="13"/>
      <c r="D32" s="13"/>
      <c r="E32" s="13"/>
      <c r="F32" s="15">
        <f t="shared" si="2"/>
        <v>0</v>
      </c>
      <c r="G32" s="13"/>
      <c r="H32" s="32">
        <f t="shared" si="3"/>
        <v>0</v>
      </c>
      <c r="I32" s="20">
        <f t="shared" si="0"/>
        <v>0</v>
      </c>
      <c r="J32" s="32">
        <f t="shared" si="1"/>
        <v>0</v>
      </c>
      <c r="K32" s="20"/>
      <c r="L32" s="20"/>
      <c r="M32" s="20"/>
      <c r="N32" s="14"/>
    </row>
    <row r="33" spans="1:14" x14ac:dyDescent="0.2">
      <c r="A33" s="1">
        <v>12</v>
      </c>
      <c r="B33" s="13"/>
      <c r="C33" s="13"/>
      <c r="D33" s="13"/>
      <c r="E33" s="13"/>
      <c r="F33" s="15">
        <f t="shared" si="2"/>
        <v>0</v>
      </c>
      <c r="G33" s="13"/>
      <c r="H33" s="32">
        <f t="shared" si="3"/>
        <v>0</v>
      </c>
      <c r="I33" s="20">
        <f t="shared" si="0"/>
        <v>0</v>
      </c>
      <c r="J33" s="32">
        <f t="shared" si="1"/>
        <v>0</v>
      </c>
      <c r="K33" s="20"/>
      <c r="L33" s="20"/>
      <c r="M33" s="20"/>
      <c r="N33" s="14"/>
    </row>
    <row r="34" spans="1:14" x14ac:dyDescent="0.2">
      <c r="A34" s="1">
        <v>13</v>
      </c>
      <c r="B34" s="13"/>
      <c r="C34" s="13"/>
      <c r="D34" s="13"/>
      <c r="E34" s="13"/>
      <c r="F34" s="15">
        <f t="shared" si="2"/>
        <v>0</v>
      </c>
      <c r="G34" s="13"/>
      <c r="H34" s="32">
        <f t="shared" si="3"/>
        <v>0</v>
      </c>
      <c r="I34" s="20">
        <f t="shared" si="0"/>
        <v>0</v>
      </c>
      <c r="J34" s="32">
        <f t="shared" si="1"/>
        <v>0</v>
      </c>
      <c r="K34" s="20"/>
      <c r="L34" s="20"/>
      <c r="M34" s="20"/>
      <c r="N34" s="14"/>
    </row>
    <row r="35" spans="1:14" x14ac:dyDescent="0.2">
      <c r="A35" s="1">
        <v>14</v>
      </c>
      <c r="B35" s="13"/>
      <c r="C35" s="13"/>
      <c r="D35" s="13"/>
      <c r="E35" s="13"/>
      <c r="F35" s="15">
        <f t="shared" si="2"/>
        <v>0</v>
      </c>
      <c r="G35" s="13"/>
      <c r="H35" s="32">
        <f t="shared" si="3"/>
        <v>0</v>
      </c>
      <c r="I35" s="20">
        <f t="shared" si="0"/>
        <v>0</v>
      </c>
      <c r="J35" s="32">
        <f t="shared" si="1"/>
        <v>0</v>
      </c>
      <c r="K35" s="20"/>
      <c r="L35" s="20"/>
      <c r="M35" s="20"/>
      <c r="N35" s="14"/>
    </row>
    <row r="36" spans="1:14" x14ac:dyDescent="0.2">
      <c r="A36" s="1">
        <v>15</v>
      </c>
      <c r="B36" s="13"/>
      <c r="C36" s="13"/>
      <c r="D36" s="13"/>
      <c r="E36" s="13"/>
      <c r="F36" s="15">
        <f t="shared" si="2"/>
        <v>0</v>
      </c>
      <c r="G36" s="13"/>
      <c r="H36" s="32">
        <f t="shared" si="3"/>
        <v>0</v>
      </c>
      <c r="I36" s="20">
        <f t="shared" si="0"/>
        <v>0</v>
      </c>
      <c r="J36" s="32">
        <f t="shared" si="1"/>
        <v>0</v>
      </c>
      <c r="K36" s="20"/>
      <c r="L36" s="20"/>
      <c r="M36" s="20"/>
      <c r="N36" s="14"/>
    </row>
    <row r="37" spans="1:14" x14ac:dyDescent="0.2">
      <c r="A37" s="1">
        <v>16</v>
      </c>
      <c r="B37" s="13"/>
      <c r="C37" s="13"/>
      <c r="D37" s="13"/>
      <c r="E37" s="13"/>
      <c r="F37" s="15">
        <f t="shared" si="2"/>
        <v>0</v>
      </c>
      <c r="G37" s="13"/>
      <c r="H37" s="32">
        <f t="shared" si="3"/>
        <v>0</v>
      </c>
      <c r="I37" s="20">
        <f t="shared" si="0"/>
        <v>0</v>
      </c>
      <c r="J37" s="32">
        <f t="shared" si="1"/>
        <v>0</v>
      </c>
      <c r="K37" s="20"/>
      <c r="L37" s="20"/>
      <c r="M37" s="20"/>
      <c r="N37" s="14"/>
    </row>
    <row r="38" spans="1:14" x14ac:dyDescent="0.2">
      <c r="A38" s="1">
        <v>17</v>
      </c>
      <c r="B38" s="13"/>
      <c r="C38" s="13"/>
      <c r="D38" s="13"/>
      <c r="E38" s="13"/>
      <c r="F38" s="15">
        <f t="shared" si="2"/>
        <v>0</v>
      </c>
      <c r="G38" s="13"/>
      <c r="H38" s="32">
        <f t="shared" si="3"/>
        <v>0</v>
      </c>
      <c r="I38" s="20">
        <f t="shared" si="0"/>
        <v>0</v>
      </c>
      <c r="J38" s="32">
        <f t="shared" si="1"/>
        <v>0</v>
      </c>
      <c r="K38" s="20"/>
      <c r="L38" s="20"/>
      <c r="M38" s="20"/>
      <c r="N38" s="14"/>
    </row>
    <row r="39" spans="1:14" x14ac:dyDescent="0.2">
      <c r="A39" s="1">
        <v>18</v>
      </c>
      <c r="B39" s="13"/>
      <c r="C39" s="13"/>
      <c r="D39" s="13"/>
      <c r="E39" s="13"/>
      <c r="F39" s="15">
        <f t="shared" si="2"/>
        <v>0</v>
      </c>
      <c r="G39" s="13"/>
      <c r="H39" s="32">
        <f t="shared" si="3"/>
        <v>0</v>
      </c>
      <c r="I39" s="20">
        <f t="shared" si="0"/>
        <v>0</v>
      </c>
      <c r="J39" s="32">
        <f t="shared" si="1"/>
        <v>0</v>
      </c>
      <c r="K39" s="20"/>
      <c r="L39" s="20"/>
      <c r="M39" s="20"/>
      <c r="N39" s="14"/>
    </row>
    <row r="40" spans="1:14" x14ac:dyDescent="0.2">
      <c r="A40" s="1">
        <v>19</v>
      </c>
      <c r="B40" s="13"/>
      <c r="C40" s="13"/>
      <c r="D40" s="13"/>
      <c r="E40" s="13"/>
      <c r="F40" s="15">
        <f t="shared" si="2"/>
        <v>0</v>
      </c>
      <c r="G40" s="13"/>
      <c r="H40" s="32">
        <f t="shared" si="3"/>
        <v>0</v>
      </c>
      <c r="I40" s="20">
        <f t="shared" si="0"/>
        <v>0</v>
      </c>
      <c r="J40" s="32">
        <f t="shared" si="1"/>
        <v>0</v>
      </c>
      <c r="K40" s="20"/>
      <c r="L40" s="20"/>
      <c r="M40" s="20"/>
      <c r="N40" s="14"/>
    </row>
    <row r="41" spans="1:14" x14ac:dyDescent="0.2">
      <c r="A41" s="1">
        <v>20</v>
      </c>
      <c r="B41" s="13"/>
      <c r="C41" s="13"/>
      <c r="D41" s="13"/>
      <c r="E41" s="13"/>
      <c r="F41" s="15">
        <f t="shared" si="2"/>
        <v>0</v>
      </c>
      <c r="G41" s="13"/>
      <c r="H41" s="32">
        <f t="shared" si="3"/>
        <v>0</v>
      </c>
      <c r="I41" s="20">
        <f t="shared" si="0"/>
        <v>0</v>
      </c>
      <c r="J41" s="32">
        <f t="shared" si="1"/>
        <v>0</v>
      </c>
      <c r="K41" s="20"/>
      <c r="L41" s="20"/>
      <c r="M41" s="20"/>
      <c r="N41" s="14"/>
    </row>
    <row r="42" spans="1:14" x14ac:dyDescent="0.2">
      <c r="A42" s="1">
        <v>21</v>
      </c>
      <c r="B42" s="13"/>
      <c r="C42" s="13"/>
      <c r="D42" s="13"/>
      <c r="E42" s="13"/>
      <c r="F42" s="15">
        <f t="shared" si="2"/>
        <v>0</v>
      </c>
      <c r="G42" s="13"/>
      <c r="H42" s="32">
        <f t="shared" si="3"/>
        <v>0</v>
      </c>
      <c r="I42" s="20">
        <f t="shared" si="0"/>
        <v>0</v>
      </c>
      <c r="J42" s="32">
        <f t="shared" si="1"/>
        <v>0</v>
      </c>
      <c r="K42" s="20"/>
      <c r="L42" s="20"/>
      <c r="M42" s="20"/>
      <c r="N42" s="14"/>
    </row>
    <row r="43" spans="1:14" x14ac:dyDescent="0.2">
      <c r="A43" s="1">
        <v>22</v>
      </c>
      <c r="B43" s="13"/>
      <c r="C43" s="13"/>
      <c r="D43" s="13"/>
      <c r="E43" s="13"/>
      <c r="F43" s="15">
        <f t="shared" si="2"/>
        <v>0</v>
      </c>
      <c r="G43" s="13"/>
      <c r="H43" s="32">
        <f t="shared" si="3"/>
        <v>0</v>
      </c>
      <c r="I43" s="20">
        <f t="shared" si="0"/>
        <v>0</v>
      </c>
      <c r="J43" s="32">
        <f t="shared" si="1"/>
        <v>0</v>
      </c>
      <c r="K43" s="20"/>
      <c r="L43" s="20"/>
      <c r="M43" s="20"/>
      <c r="N43" s="14"/>
    </row>
    <row r="44" spans="1:14" x14ac:dyDescent="0.2">
      <c r="A44" s="1">
        <v>23</v>
      </c>
      <c r="B44" s="13"/>
      <c r="C44" s="13"/>
      <c r="D44" s="13"/>
      <c r="E44" s="13"/>
      <c r="F44" s="15">
        <f t="shared" si="2"/>
        <v>0</v>
      </c>
      <c r="G44" s="13"/>
      <c r="H44" s="32">
        <f t="shared" si="3"/>
        <v>0</v>
      </c>
      <c r="I44" s="20">
        <f t="shared" si="0"/>
        <v>0</v>
      </c>
      <c r="J44" s="32">
        <f t="shared" si="1"/>
        <v>0</v>
      </c>
      <c r="K44" s="20"/>
      <c r="L44" s="20"/>
      <c r="M44" s="20"/>
      <c r="N44" s="14"/>
    </row>
    <row r="45" spans="1:14" x14ac:dyDescent="0.2">
      <c r="A45" s="1">
        <v>24</v>
      </c>
      <c r="B45" s="13"/>
      <c r="C45" s="13"/>
      <c r="D45" s="13"/>
      <c r="E45" s="13"/>
      <c r="F45" s="15">
        <f t="shared" si="2"/>
        <v>0</v>
      </c>
      <c r="G45" s="13"/>
      <c r="H45" s="32">
        <f t="shared" si="3"/>
        <v>0</v>
      </c>
      <c r="I45" s="20">
        <f t="shared" si="0"/>
        <v>0</v>
      </c>
      <c r="J45" s="32">
        <f t="shared" si="1"/>
        <v>0</v>
      </c>
      <c r="K45" s="20"/>
      <c r="L45" s="20"/>
      <c r="M45" s="20"/>
      <c r="N45" s="14"/>
    </row>
    <row r="46" spans="1:14" x14ac:dyDescent="0.2">
      <c r="A46" s="1">
        <v>25</v>
      </c>
      <c r="B46" s="13"/>
      <c r="C46" s="13"/>
      <c r="D46" s="13"/>
      <c r="E46" s="13"/>
      <c r="F46" s="15">
        <f t="shared" si="2"/>
        <v>0</v>
      </c>
      <c r="G46" s="13"/>
      <c r="H46" s="32">
        <f t="shared" si="3"/>
        <v>0</v>
      </c>
      <c r="I46" s="20">
        <f t="shared" si="0"/>
        <v>0</v>
      </c>
      <c r="J46" s="32">
        <f t="shared" si="1"/>
        <v>0</v>
      </c>
      <c r="K46" s="20"/>
      <c r="L46" s="20"/>
      <c r="M46" s="20"/>
      <c r="N46" s="14"/>
    </row>
    <row r="47" spans="1:14" x14ac:dyDescent="0.2">
      <c r="B47" s="18">
        <f>SUM(B22:B46)</f>
        <v>2</v>
      </c>
      <c r="F47" s="16">
        <f>SUM(F22:F46)</f>
        <v>561.31147540983602</v>
      </c>
      <c r="G47" s="17">
        <f>SUM(G22:G46)</f>
        <v>452</v>
      </c>
      <c r="H47" s="19">
        <f>SUM(H22:H46)</f>
        <v>1058.9690721649486</v>
      </c>
      <c r="I47" s="19">
        <f>SUM(I22:I46)</f>
        <v>205.025855030391</v>
      </c>
      <c r="J47" s="19">
        <f>SUM(J22:J46)</f>
        <v>561.31147540983602</v>
      </c>
      <c r="K47" s="37"/>
      <c r="L47" s="37"/>
      <c r="M47" s="20"/>
      <c r="N47" s="14"/>
    </row>
    <row r="48" spans="1:14" x14ac:dyDescent="0.2">
      <c r="B48" s="26"/>
      <c r="F48" s="36"/>
      <c r="G48" s="27"/>
      <c r="H48" s="33"/>
      <c r="I48" s="20"/>
      <c r="J48" s="20"/>
      <c r="K48" s="20"/>
      <c r="L48" s="20"/>
      <c r="M48" s="20"/>
      <c r="N48" s="14"/>
    </row>
    <row r="49" spans="1:14" x14ac:dyDescent="0.2">
      <c r="B49" s="12" t="s">
        <v>27</v>
      </c>
      <c r="C49" s="12"/>
      <c r="D49" s="12"/>
      <c r="E49" s="38" t="str">
        <f>ROUND(F49,0)&amp; " KGS"</f>
        <v>205 KGS</v>
      </c>
      <c r="F49" s="19">
        <f>H49/2.2046</f>
        <v>205.025855030391</v>
      </c>
      <c r="G49" s="39" t="str">
        <f>ROUND(H49,0)&amp;" LBS"</f>
        <v>452 LBS</v>
      </c>
      <c r="H49" s="34">
        <f>G47</f>
        <v>452</v>
      </c>
      <c r="I49" s="20"/>
      <c r="J49" s="20"/>
      <c r="K49" s="20"/>
      <c r="L49" s="20"/>
      <c r="M49" s="20"/>
      <c r="N49" s="14"/>
    </row>
    <row r="50" spans="1:14" ht="16.5" customHeight="1" x14ac:dyDescent="0.2">
      <c r="E50" s="5"/>
      <c r="F50" s="35"/>
      <c r="G50" s="40"/>
      <c r="H50" s="20"/>
      <c r="I50" s="20"/>
      <c r="J50" s="20"/>
      <c r="K50" s="20"/>
      <c r="L50" s="20"/>
      <c r="M50" s="20"/>
      <c r="N50" s="14"/>
    </row>
    <row r="51" spans="1:14" x14ac:dyDescent="0.2">
      <c r="B51" s="12" t="s">
        <v>5</v>
      </c>
      <c r="C51" s="12"/>
      <c r="D51" s="12"/>
      <c r="E51" s="42" t="str">
        <f>ROUND(F51,0)&amp; " KGS "</f>
        <v xml:space="preserve">561 KGS </v>
      </c>
      <c r="F51" s="19">
        <f>IF(A1=1,L22/2.2046,K22)</f>
        <v>561.31147540983602</v>
      </c>
      <c r="G51" s="41" t="str">
        <f>ROUND(H51,0)&amp;" LBS"</f>
        <v>1237 LBS</v>
      </c>
      <c r="H51" s="34">
        <f>IF(A1=1,L22, K22*2.2046)</f>
        <v>1237.4672786885246</v>
      </c>
      <c r="I51" s="20"/>
      <c r="J51" s="20"/>
      <c r="K51" s="20"/>
      <c r="L51" s="20"/>
      <c r="M51" s="20"/>
      <c r="N51" s="14"/>
    </row>
    <row r="52" spans="1:14" ht="16.5" customHeight="1" x14ac:dyDescent="0.2">
      <c r="F52" s="14"/>
      <c r="G52" s="14"/>
      <c r="H52" s="20"/>
      <c r="I52" s="20"/>
      <c r="J52" s="20"/>
      <c r="K52" s="20"/>
      <c r="L52" s="20"/>
      <c r="M52" s="20"/>
      <c r="N52" s="14"/>
    </row>
    <row r="53" spans="1:14" x14ac:dyDescent="0.2">
      <c r="A53" s="4"/>
      <c r="B53" s="4" t="s">
        <v>22</v>
      </c>
      <c r="C53" s="51" t="s">
        <v>39</v>
      </c>
      <c r="D53" s="51"/>
      <c r="E53" s="51"/>
      <c r="F53" s="51"/>
      <c r="G53" s="51"/>
      <c r="H53" s="51"/>
    </row>
    <row r="54" spans="1:14" x14ac:dyDescent="0.2">
      <c r="A54" s="4"/>
      <c r="C54" s="51"/>
      <c r="D54" s="51"/>
      <c r="E54" s="51"/>
      <c r="F54" s="51"/>
      <c r="G54" s="51"/>
      <c r="H54" s="51"/>
    </row>
    <row r="55" spans="1:14" ht="6.75" customHeight="1" x14ac:dyDescent="0.2">
      <c r="A55" s="4"/>
    </row>
    <row r="56" spans="1:14" ht="13.5" thickBot="1" x14ac:dyDescent="0.25">
      <c r="B56" s="4" t="s">
        <v>21</v>
      </c>
      <c r="C56" s="47" t="s">
        <v>35</v>
      </c>
      <c r="D56" s="47"/>
      <c r="E56" s="47"/>
    </row>
    <row r="57" spans="1:14" ht="13.5" thickBot="1" x14ac:dyDescent="0.25">
      <c r="B57" s="4" t="s">
        <v>19</v>
      </c>
      <c r="C57" s="45"/>
      <c r="D57" s="45"/>
      <c r="E57" s="45"/>
      <c r="F57" s="4" t="s">
        <v>20</v>
      </c>
      <c r="G57" s="49">
        <v>46205</v>
      </c>
      <c r="H57" s="47"/>
      <c r="I57" s="47"/>
    </row>
  </sheetData>
  <sheetProtection password="BB59" sheet="1" selectLockedCells="1"/>
  <protectedRanges>
    <protectedRange sqref="B16:C19 D16" name="Range1"/>
  </protectedRanges>
  <mergeCells count="27">
    <mergeCell ref="G57:I57"/>
    <mergeCell ref="D15:E15"/>
    <mergeCell ref="C57:E57"/>
    <mergeCell ref="C53:H54"/>
    <mergeCell ref="C56:E56"/>
    <mergeCell ref="F9:G9"/>
    <mergeCell ref="D8:E8"/>
    <mergeCell ref="F8:G8"/>
    <mergeCell ref="D10:E10"/>
    <mergeCell ref="B1:E1"/>
    <mergeCell ref="B3:C3"/>
    <mergeCell ref="D3:E3"/>
    <mergeCell ref="D7:E7"/>
    <mergeCell ref="B6:C6"/>
    <mergeCell ref="F4:G4"/>
    <mergeCell ref="B7:C7"/>
    <mergeCell ref="F3:G3"/>
    <mergeCell ref="B8:C8"/>
    <mergeCell ref="F7:G7"/>
    <mergeCell ref="F6:G6"/>
    <mergeCell ref="F5:G5"/>
    <mergeCell ref="B9:C10"/>
    <mergeCell ref="B4:C4"/>
    <mergeCell ref="B5:C5"/>
    <mergeCell ref="D6:E6"/>
    <mergeCell ref="D5:E5"/>
    <mergeCell ref="D4:E4"/>
  </mergeCells>
  <phoneticPr fontId="3" type="noConversion"/>
  <printOptions horizontalCentered="1"/>
  <pageMargins left="0.25" right="0.25" top="0.25" bottom="0.25" header="0.5" footer="0.5"/>
  <pageSetup orientation="portrait" r:id="rId1"/>
  <headerFooter alignWithMargins="0">
    <oddHeader>&amp;L&amp;G</oddHeader>
    <oddFooter>&amp;L&amp;"Tahoma,Regular"&amp;8Version 10.1&amp;R&amp;"Tahoma,Regular"&amp;8Printed &amp;D &amp;T</oddFooter>
  </headerFooter>
  <ignoredErrors>
    <ignoredError sqref="A17" unlocked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0" r:id="rId4" name="Check Box 16">
              <controlPr defaultSize="0" autoFill="0" autoLine="0" autoPict="0">
                <anchor moveWithCells="1">
                  <from>
                    <xdr:col>7</xdr:col>
                    <xdr:colOff>38100</xdr:colOff>
                    <xdr:row>3</xdr:row>
                    <xdr:rowOff>200025</xdr:rowOff>
                  </from>
                  <to>
                    <xdr:col>7</xdr:col>
                    <xdr:colOff>571500</xdr:colOff>
                    <xdr:row>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5" name="Check Box 17">
              <controlPr defaultSize="0" autoFill="0" autoLine="0" autoPict="0">
                <anchor moveWithCells="1">
                  <from>
                    <xdr:col>8</xdr:col>
                    <xdr:colOff>28575</xdr:colOff>
                    <xdr:row>3</xdr:row>
                    <xdr:rowOff>200025</xdr:rowOff>
                  </from>
                  <to>
                    <xdr:col>8</xdr:col>
                    <xdr:colOff>561975</xdr:colOff>
                    <xdr:row>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6" name="Check Box 18">
              <controlPr defaultSize="0" autoFill="0" autoLine="0" autoPict="0">
                <anchor moveWithCells="1">
                  <from>
                    <xdr:col>7</xdr:col>
                    <xdr:colOff>38100</xdr:colOff>
                    <xdr:row>4</xdr:row>
                    <xdr:rowOff>200025</xdr:rowOff>
                  </from>
                  <to>
                    <xdr:col>7</xdr:col>
                    <xdr:colOff>571500</xdr:colOff>
                    <xdr:row>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7" name="Check Box 19">
              <controlPr defaultSize="0" autoFill="0" autoLine="0" autoPict="0">
                <anchor moveWithCells="1">
                  <from>
                    <xdr:col>8</xdr:col>
                    <xdr:colOff>28575</xdr:colOff>
                    <xdr:row>4</xdr:row>
                    <xdr:rowOff>200025</xdr:rowOff>
                  </from>
                  <to>
                    <xdr:col>8</xdr:col>
                    <xdr:colOff>561975</xdr:colOff>
                    <xdr:row>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8" name="Check Box 20">
              <controlPr defaultSize="0" autoFill="0" autoLine="0" autoPict="0">
                <anchor moveWithCells="1">
                  <from>
                    <xdr:col>5</xdr:col>
                    <xdr:colOff>190500</xdr:colOff>
                    <xdr:row>8</xdr:row>
                    <xdr:rowOff>152400</xdr:rowOff>
                  </from>
                  <to>
                    <xdr:col>5</xdr:col>
                    <xdr:colOff>723900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9" name="Check Box 21">
              <controlPr defaultSize="0" autoFill="0" autoLine="0" autoPict="0">
                <anchor moveWithCells="1">
                  <from>
                    <xdr:col>5</xdr:col>
                    <xdr:colOff>609600</xdr:colOff>
                    <xdr:row>8</xdr:row>
                    <xdr:rowOff>152400</xdr:rowOff>
                  </from>
                  <to>
                    <xdr:col>6</xdr:col>
                    <xdr:colOff>295275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10" name="Check Box 32">
              <controlPr defaultSize="0" autoFill="0" autoLine="0" autoPict="0">
                <anchor moveWithCells="1">
                  <from>
                    <xdr:col>7</xdr:col>
                    <xdr:colOff>38100</xdr:colOff>
                    <xdr:row>5</xdr:row>
                    <xdr:rowOff>219075</xdr:rowOff>
                  </from>
                  <to>
                    <xdr:col>7</xdr:col>
                    <xdr:colOff>571500</xdr:colOff>
                    <xdr:row>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11" name="Check Box 33">
              <controlPr defaultSize="0" autoFill="0" autoLine="0" autoPict="0">
                <anchor moveWithCells="1">
                  <from>
                    <xdr:col>8</xdr:col>
                    <xdr:colOff>28575</xdr:colOff>
                    <xdr:row>5</xdr:row>
                    <xdr:rowOff>219075</xdr:rowOff>
                  </from>
                  <to>
                    <xdr:col>8</xdr:col>
                    <xdr:colOff>561975</xdr:colOff>
                    <xdr:row>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12" name="Check Box 34">
              <controlPr defaultSize="0" autoFill="0" autoLine="0" autoPict="0">
                <anchor moveWithCells="1">
                  <from>
                    <xdr:col>7</xdr:col>
                    <xdr:colOff>38100</xdr:colOff>
                    <xdr:row>6</xdr:row>
                    <xdr:rowOff>200025</xdr:rowOff>
                  </from>
                  <to>
                    <xdr:col>7</xdr:col>
                    <xdr:colOff>571500</xdr:colOff>
                    <xdr:row>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13" name="Check Box 35">
              <controlPr defaultSize="0" autoFill="0" autoLine="0" autoPict="0">
                <anchor moveWithCells="1">
                  <from>
                    <xdr:col>8</xdr:col>
                    <xdr:colOff>28575</xdr:colOff>
                    <xdr:row>6</xdr:row>
                    <xdr:rowOff>200025</xdr:rowOff>
                  </from>
                  <to>
                    <xdr:col>8</xdr:col>
                    <xdr:colOff>561975</xdr:colOff>
                    <xdr:row>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14" name="Option Button 64">
              <controlPr locked="0" defaultSize="0" autoFill="0" autoLine="0" autoPict="0">
                <anchor moveWithCells="1">
                  <from>
                    <xdr:col>2</xdr:col>
                    <xdr:colOff>304800</xdr:colOff>
                    <xdr:row>15</xdr:row>
                    <xdr:rowOff>133350</xdr:rowOff>
                  </from>
                  <to>
                    <xdr:col>3</xdr:col>
                    <xdr:colOff>790575</xdr:colOff>
                    <xdr:row>17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15" name="Option Button 65">
              <controlPr locked="0" defaultSize="0" autoFill="0" autoLine="0" autoPict="0">
                <anchor moveWithCells="1">
                  <from>
                    <xdr:col>2</xdr:col>
                    <xdr:colOff>304800</xdr:colOff>
                    <xdr:row>16</xdr:row>
                    <xdr:rowOff>133350</xdr:rowOff>
                  </from>
                  <to>
                    <xdr:col>3</xdr:col>
                    <xdr:colOff>657225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16" name="Check Box 69">
              <controlPr defaultSize="0" autoFill="0" autoLine="0" autoPict="0">
                <anchor moveWithCells="1">
                  <from>
                    <xdr:col>7</xdr:col>
                    <xdr:colOff>38100</xdr:colOff>
                    <xdr:row>7</xdr:row>
                    <xdr:rowOff>161925</xdr:rowOff>
                  </from>
                  <to>
                    <xdr:col>7</xdr:col>
                    <xdr:colOff>571500</xdr:colOff>
                    <xdr:row>9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17" name="Check Box 70">
              <controlPr defaultSize="0" autoFill="0" autoLine="0" autoPict="0">
                <anchor moveWithCells="1">
                  <from>
                    <xdr:col>8</xdr:col>
                    <xdr:colOff>28575</xdr:colOff>
                    <xdr:row>7</xdr:row>
                    <xdr:rowOff>152400</xdr:rowOff>
                  </from>
                  <to>
                    <xdr:col>8</xdr:col>
                    <xdr:colOff>561975</xdr:colOff>
                    <xdr:row>9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DockReceipt</vt:lpstr>
      <vt:lpstr>DockReceipt!Print_Area</vt:lpstr>
    </vt:vector>
  </TitlesOfParts>
  <Company>UPS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United Parcel Service</dc:creator>
  <cp:lastModifiedBy>Santana Emmanuel (PBP4WCT)</cp:lastModifiedBy>
  <cp:lastPrinted>2026-07-02T19:34:31Z</cp:lastPrinted>
  <dcterms:created xsi:type="dcterms:W3CDTF">2010-07-08T17:52:54Z</dcterms:created>
  <dcterms:modified xsi:type="dcterms:W3CDTF">2026-07-02T19:34:35Z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cd8ab5-5795-469a-8c51-9f21ba29bce6_Enabled">
    <vt:lpwstr>true</vt:lpwstr>
  </property>
  <property fmtid="{D5CDD505-2E9C-101B-9397-08002B2CF9AE}" pid="3" name="MSIP_Label_becd8ab5-5795-469a-8c51-9f21ba29bce6_SetDate">
    <vt:lpwstr>2025-08-14T18:08:14Z</vt:lpwstr>
  </property>
  <property fmtid="{D5CDD505-2E9C-101B-9397-08002B2CF9AE}" pid="4" name="MSIP_Label_becd8ab5-5795-469a-8c51-9f21ba29bce6_Method">
    <vt:lpwstr>Standard</vt:lpwstr>
  </property>
  <property fmtid="{D5CDD505-2E9C-101B-9397-08002B2CF9AE}" pid="5" name="MSIP_Label_becd8ab5-5795-469a-8c51-9f21ba29bce6_Name">
    <vt:lpwstr>GENERAL</vt:lpwstr>
  </property>
  <property fmtid="{D5CDD505-2E9C-101B-9397-08002B2CF9AE}" pid="6" name="MSIP_Label_becd8ab5-5795-469a-8c51-9f21ba29bce6_SiteId">
    <vt:lpwstr>e7520e4d-d5a0-488d-9e9f-949faae7dce8</vt:lpwstr>
  </property>
  <property fmtid="{D5CDD505-2E9C-101B-9397-08002B2CF9AE}" pid="7" name="MSIP_Label_becd8ab5-5795-469a-8c51-9f21ba29bce6_ActionId">
    <vt:lpwstr>a52666bc-803d-4a33-b687-7866c0e7017e</vt:lpwstr>
  </property>
  <property fmtid="{D5CDD505-2E9C-101B-9397-08002B2CF9AE}" pid="8" name="MSIP_Label_becd8ab5-5795-469a-8c51-9f21ba29bce6_ContentBits">
    <vt:lpwstr>0</vt:lpwstr>
  </property>
  <property fmtid="{D5CDD505-2E9C-101B-9397-08002B2CF9AE}" pid="9" name="MSIP_Label_becd8ab5-5795-469a-8c51-9f21ba29bce6_Tag">
    <vt:lpwstr>10, 3, 0, 1</vt:lpwstr>
  </property>
</Properties>
</file>